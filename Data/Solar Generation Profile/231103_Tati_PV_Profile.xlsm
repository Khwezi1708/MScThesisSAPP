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c4cf372997ba12/S(Projects)/RMB/Working/PV Profile/"/>
    </mc:Choice>
  </mc:AlternateContent>
  <xr:revisionPtr revIDLastSave="50" documentId="8_{0DF46F33-3606-4BFB-AC2B-368DBDE66DB1}" xr6:coauthVersionLast="47" xr6:coauthVersionMax="47" xr10:uidLastSave="{4E64722A-92A1-4569-AC77-F3DCDB916D56}"/>
  <bookViews>
    <workbookView xWindow="-28920" yWindow="-120" windowWidth="29040" windowHeight="15720" tabRatio="920" xr2:uid="{7DA9165B-FE26-46D1-899B-C2BD2252D2BD}"/>
  </bookViews>
  <sheets>
    <sheet name="Monthly" sheetId="61" r:id="rId1"/>
  </sheets>
  <definedNames>
    <definedName name="MPA_Max_Outflow">#REF!</definedName>
    <definedName name="MPA_Min_Outflow">#REF!</definedName>
    <definedName name="MPA_Storage">#REF!</definedName>
    <definedName name="RD_Max_Outflow">#REF!</definedName>
    <definedName name="RD_Storage">#REF!</definedName>
    <definedName name="Ref_01">#REF!</definedName>
    <definedName name="Ref_02">#REF!</definedName>
    <definedName name="Ref_03">#REF!</definedName>
    <definedName name="Ref_04">#REF!</definedName>
    <definedName name="Ref_05">#REF!</definedName>
    <definedName name="Ref_06">#REF!</definedName>
    <definedName name="Ref_07">#REF!</definedName>
    <definedName name="Ref_08">#REF!</definedName>
    <definedName name="Ref_09">#REF!</definedName>
    <definedName name="Ref_10">#REF!</definedName>
    <definedName name="Ref_11">#REF!</definedName>
    <definedName name="Ref_12">#REF!</definedName>
    <definedName name="Ref_13">#REF!</definedName>
    <definedName name="Rng_01">#REF!</definedName>
    <definedName name="Rng_02">#REF!</definedName>
    <definedName name="Rng_03">#REF!</definedName>
    <definedName name="Rng_04">#REF!</definedName>
    <definedName name="Rng_05">#REF!</definedName>
    <definedName name="Rng_06">#REF!</definedName>
    <definedName name="Rng_07">#REF!</definedName>
    <definedName name="Rng_08">#REF!</definedName>
    <definedName name="Rng_09">#REF!</definedName>
    <definedName name="Rng_10">#REF!</definedName>
    <definedName name="Rng_11">#REF!</definedName>
    <definedName name="Rng_12">#REF!</definedName>
    <definedName name="Rng_13">#REF!</definedName>
    <definedName name="Rng_14">#REF!</definedName>
    <definedName name="Rng_15">#REF!</definedName>
    <definedName name="Rng_16">#REF!</definedName>
    <definedName name="Yea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6" i="61" l="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5" i="61"/>
  <c r="T29" i="61"/>
  <c r="S29" i="61"/>
  <c r="R29" i="61"/>
  <c r="Q29" i="61"/>
  <c r="P29" i="61"/>
  <c r="O29" i="61"/>
  <c r="N29" i="61"/>
  <c r="U29" i="61" s="1"/>
  <c r="M29" i="61"/>
  <c r="L29" i="61"/>
  <c r="K29" i="61"/>
  <c r="J29" i="61"/>
  <c r="I29" i="61"/>
  <c r="S30" i="61" l="1"/>
  <c r="J30" i="61"/>
  <c r="N30" i="61"/>
  <c r="R30" i="61"/>
  <c r="L30" i="61"/>
  <c r="P30" i="61"/>
  <c r="T30" i="61"/>
  <c r="I30" i="61"/>
  <c r="M30" i="61"/>
  <c r="Q30" i="61"/>
  <c r="K30" i="61"/>
  <c r="O30" i="61"/>
</calcChain>
</file>

<file path=xl/sharedStrings.xml><?xml version="1.0" encoding="utf-8"?>
<sst xmlns="http://schemas.openxmlformats.org/spreadsheetml/2006/main" count="16" uniqueCount="15">
  <si>
    <t>Hour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</si>
  <si>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</si>
  <si>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</si>
  <si>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</si>
  <si>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</si>
  <si>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</si>
  <si>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</si>
  <si>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</si>
  <si>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</si>
  <si>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</si>
  <si>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</si>
  <si>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</si>
  <si>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</si>
  <si>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Avg</t>
  </si>
  <si>
    <t>Toti Profile for 105MWdc plant (first 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</si>
</sst>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7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</borders>
  <cellStyleXfs count="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</cellStyleXfs>
  <cellXfs count="15">
    <xf numFmtId="0" fontId="0" fillId="0" borderId="0" xfId="0"/>
    <xf numFmtId="0" fontId="5" fillId="2" borderId="3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167" fontId="0" fillId="0" borderId="4" xfId="4" applyNumberFormat="1" applyFont="1" applyBorder="1"/>
    <xf numFmtId="167" fontId="0" fillId="0" borderId="1" xfId="4" applyNumberFormat="1" applyFont="1" applyBorder="1"/>
    <xf numFmtId="167" fontId="0" fillId="3" borderId="4" xfId="4" applyNumberFormat="1" applyFont="1" applyFill="1" applyBorder="1"/>
    <xf numFmtId="167" fontId="0" fillId="3" borderId="1" xfId="4" applyNumberFormat="1" applyFont="1" applyFill="1" applyBorder="1"/>
    <xf numFmtId="167" fontId="0" fillId="3" borderId="0" xfId="4" applyNumberFormat="1" applyFont="1" applyFill="1"/>
    <xf numFmtId="0" fontId="4" fillId="3" borderId="7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0" borderId="0" xfId="0" applyFont="1"/>
  </cellXfs>
  <cellStyles count="5">
    <cellStyle name="Comma 2" xfId="2" xr:uid="{F84C7D2F-4CDB-4E69-A6E8-1727D686191F}"/>
    <cellStyle name="Normal" xfId="0" builtinId="0"/>
    <cellStyle name="Normal 2" xfId="1" xr:uid="{7E0307BC-7EB1-4ED2-A11C-009774688C9B}"/>
    <cellStyle name="Normal 3" xfId="3" xr:uid="{23AC7338-7DB5-4406-B121-D50BF6633D41}"/>
    <cellStyle name="Percent" xfId="4" builtinId="5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000"/>
              <a:t>Tati Average output per hour of the day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522"/>
          <c:y val="0.17446037037037038"/>
          <c:w val="0.66345200000000004"/>
          <c:h val="0.64960555555555555"/>
        </c:manualLayout>
      </c:layout>
      <c:lineChart>
        <c:grouping val="standard"/>
        <c:varyColors val="0"/>
        <c:ser>
          <c:idx val="0"/>
          <c:order val="0"/>
          <c:tx>
            <c:strRef>
              <c:f>Monthly!$I$4</c:f>
              <c:strCache>
                <c:ptCount val="1"/>
                <c:pt idx="0">
                  <c:v>Jan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Monthly!$I$5:$I$28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0.199229668202765</c:v>
                </c:pt>
                <c:pt idx="7">
                  <c:v>0.53589649769585257</c:v>
                </c:pt>
                <c:pt idx="8">
                  <c:v>0.63248046082949305</c:v>
                </c:pt>
                <c:pt idx="9">
                  <c:v>0.675813149001536</c:v>
                </c:pt>
                <c:pt idx="10">
                  <c:v>0.75731059907834108</c:v>
                </c:pt>
                <c:pt idx="11">
                  <c:v>0.715869124423963</c:v>
                </c:pt>
                <c:pt idx="12">
                  <c:v>0.67051090629800303</c:v>
                </c:pt>
                <c:pt idx="13">
                  <c:v>0.65537333333333336</c:v>
                </c:pt>
                <c:pt idx="14">
                  <c:v>0.62376294930875575</c:v>
                </c:pt>
                <c:pt idx="15">
                  <c:v>0.57710623655913984</c:v>
                </c:pt>
                <c:pt idx="16">
                  <c:v>0.52568795698924731</c:v>
                </c:pt>
                <c:pt idx="17">
                  <c:v>0.33600110599078348</c:v>
                </c:pt>
                <c:pt idx="18">
                  <c:v>9.8844976958525343E-3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B-49C8-9557-7F1B172DA6DE}"/>
            </c:ext>
          </c:extLst>
        </c:ser>
        <c:ser>
          <c:idx val="1"/>
          <c:order val="1"/>
          <c:tx>
            <c:strRef>
              <c:f>Monthly!$J$4</c:f>
              <c:strCache>
                <c:ptCount val="1"/>
                <c:pt idx="0">
                  <c:v>Feb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Monthly!$J$5:$J$28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4.6806770068027234E-2</c:v>
                </c:pt>
                <c:pt idx="7">
                  <c:v>0.41632591836734695</c:v>
                </c:pt>
                <c:pt idx="8">
                  <c:v>0.56525425170068011</c:v>
                </c:pt>
                <c:pt idx="9">
                  <c:v>0.62590887755102032</c:v>
                </c:pt>
                <c:pt idx="10">
                  <c:v>0.66658006802721093</c:v>
                </c:pt>
                <c:pt idx="11">
                  <c:v>0.66531911564625845</c:v>
                </c:pt>
                <c:pt idx="12">
                  <c:v>0.66915170068027219</c:v>
                </c:pt>
                <c:pt idx="13">
                  <c:v>0.67019319727891169</c:v>
                </c:pt>
                <c:pt idx="14">
                  <c:v>0.62849136054421761</c:v>
                </c:pt>
                <c:pt idx="15">
                  <c:v>0.64292585034013616</c:v>
                </c:pt>
                <c:pt idx="16">
                  <c:v>0.60005945578231301</c:v>
                </c:pt>
                <c:pt idx="17">
                  <c:v>0.35282874149659854</c:v>
                </c:pt>
                <c:pt idx="18">
                  <c:v>4.8652479591836731E-3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B-49C8-9557-7F1B172DA6DE}"/>
            </c:ext>
          </c:extLst>
        </c:ser>
        <c:ser>
          <c:idx val="2"/>
          <c:order val="2"/>
          <c:tx>
            <c:strRef>
              <c:f>Monthly!$K$4</c:f>
              <c:strCache>
                <c:ptCount val="1"/>
                <c:pt idx="0">
                  <c:v>Mar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Monthly!$K$5:$K$28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7.5374801843317964E-3</c:v>
                </c:pt>
                <c:pt idx="7">
                  <c:v>0.40923072196620586</c:v>
                </c:pt>
                <c:pt idx="8">
                  <c:v>0.63557542242703524</c:v>
                </c:pt>
                <c:pt idx="9">
                  <c:v>0.66825652841781891</c:v>
                </c:pt>
                <c:pt idx="10">
                  <c:v>0.69985253456221197</c:v>
                </c:pt>
                <c:pt idx="11">
                  <c:v>0.64090445468509971</c:v>
                </c:pt>
                <c:pt idx="12">
                  <c:v>0.64061290322580644</c:v>
                </c:pt>
                <c:pt idx="13">
                  <c:v>0.63100215053763453</c:v>
                </c:pt>
                <c:pt idx="14">
                  <c:v>0.63590814132104445</c:v>
                </c:pt>
                <c:pt idx="15">
                  <c:v>0.59942549923195076</c:v>
                </c:pt>
                <c:pt idx="16">
                  <c:v>0.52460675883256525</c:v>
                </c:pt>
                <c:pt idx="17">
                  <c:v>0.16968958525345623</c:v>
                </c:pt>
                <c:pt idx="18">
                  <c:v>2.7973579109062978E-6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6B-49C8-9557-7F1B172DA6DE}"/>
            </c:ext>
          </c:extLst>
        </c:ser>
        <c:ser>
          <c:idx val="3"/>
          <c:order val="3"/>
          <c:tx>
            <c:strRef>
              <c:f>Monthly!$L$4</c:f>
              <c:strCache>
                <c:ptCount val="1"/>
                <c:pt idx="0">
                  <c:v>Apr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Monthly!$L$5:$L$28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2.9125171428571426E-4</c:v>
                </c:pt>
                <c:pt idx="7">
                  <c:v>0.39269942857142864</c:v>
                </c:pt>
                <c:pt idx="8">
                  <c:v>0.64598819047619049</c:v>
                </c:pt>
                <c:pt idx="9">
                  <c:v>0.70342066666666669</c:v>
                </c:pt>
                <c:pt idx="10">
                  <c:v>0.68290285714285714</c:v>
                </c:pt>
                <c:pt idx="11">
                  <c:v>0.69636158730158726</c:v>
                </c:pt>
                <c:pt idx="12">
                  <c:v>0.66829365079365088</c:v>
                </c:pt>
                <c:pt idx="13">
                  <c:v>0.65882726984126982</c:v>
                </c:pt>
                <c:pt idx="14">
                  <c:v>0.62360612698412687</c:v>
                </c:pt>
                <c:pt idx="15">
                  <c:v>0.59843380952380965</c:v>
                </c:pt>
                <c:pt idx="16">
                  <c:v>0.4577490793650793</c:v>
                </c:pt>
                <c:pt idx="17">
                  <c:v>2.6612409523809517E-2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6B-49C8-9557-7F1B172DA6DE}"/>
            </c:ext>
          </c:extLst>
        </c:ser>
        <c:ser>
          <c:idx val="4"/>
          <c:order val="4"/>
          <c:tx>
            <c:strRef>
              <c:f>Monthly!$M$4</c:f>
              <c:strCache>
                <c:ptCount val="1"/>
                <c:pt idx="0">
                  <c:v>May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Monthly!$M$5:$M$28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0.31652423963133636</c:v>
                </c:pt>
                <c:pt idx="8">
                  <c:v>0.66502571428571433</c:v>
                </c:pt>
                <c:pt idx="9">
                  <c:v>0.68836055299539167</c:v>
                </c:pt>
                <c:pt idx="10">
                  <c:v>0.69383594470046084</c:v>
                </c:pt>
                <c:pt idx="11">
                  <c:v>0.68591643625192011</c:v>
                </c:pt>
                <c:pt idx="12">
                  <c:v>0.67414254992319511</c:v>
                </c:pt>
                <c:pt idx="13">
                  <c:v>0.66350906298003065</c:v>
                </c:pt>
                <c:pt idx="14">
                  <c:v>0.6607685714285717</c:v>
                </c:pt>
                <c:pt idx="15">
                  <c:v>0.62259268817204316</c:v>
                </c:pt>
                <c:pt idx="16">
                  <c:v>0.36909898617511516</c:v>
                </c:pt>
                <c:pt idx="17">
                  <c:v>3.9176761904761916E-4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6B-49C8-9557-7F1B172DA6DE}"/>
            </c:ext>
          </c:extLst>
        </c:ser>
        <c:ser>
          <c:idx val="5"/>
          <c:order val="5"/>
          <c:tx>
            <c:strRef>
              <c:f>Monthly!$N$4</c:f>
              <c:strCache>
                <c:ptCount val="1"/>
                <c:pt idx="0">
                  <c:v>Jun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Monthly!$N$5:$N$28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0.19813250793650797</c:v>
                </c:pt>
                <c:pt idx="8">
                  <c:v>0.54390250793650796</c:v>
                </c:pt>
                <c:pt idx="9">
                  <c:v>0.57372066666666666</c:v>
                </c:pt>
                <c:pt idx="10">
                  <c:v>0.59165999999999985</c:v>
                </c:pt>
                <c:pt idx="11">
                  <c:v>0.61101015873015863</c:v>
                </c:pt>
                <c:pt idx="12">
                  <c:v>0.609474603174603</c:v>
                </c:pt>
                <c:pt idx="13">
                  <c:v>0.62853238095238095</c:v>
                </c:pt>
                <c:pt idx="14">
                  <c:v>0.61834666666666671</c:v>
                </c:pt>
                <c:pt idx="15">
                  <c:v>0.58466571428571446</c:v>
                </c:pt>
                <c:pt idx="16">
                  <c:v>0.32762180952380948</c:v>
                </c:pt>
                <c:pt idx="17">
                  <c:v>1.9646666666666665E-4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6B-49C8-9557-7F1B172DA6DE}"/>
            </c:ext>
          </c:extLst>
        </c:ser>
        <c:ser>
          <c:idx val="6"/>
          <c:order val="6"/>
          <c:tx>
            <c:strRef>
              <c:f>Monthly!$O$4</c:f>
              <c:strCache>
                <c:ptCount val="1"/>
                <c:pt idx="0">
                  <c:v>Jul</c:v>
                </c:pt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Monthly!$O$5:$O$28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0.19789817081413211</c:v>
                </c:pt>
                <c:pt idx="8">
                  <c:v>0.58806540706605248</c:v>
                </c:pt>
                <c:pt idx="9">
                  <c:v>0.63049370199692789</c:v>
                </c:pt>
                <c:pt idx="10">
                  <c:v>0.6490832565284177</c:v>
                </c:pt>
                <c:pt idx="11">
                  <c:v>0.65064208909370191</c:v>
                </c:pt>
                <c:pt idx="12">
                  <c:v>0.66351367127496186</c:v>
                </c:pt>
                <c:pt idx="13">
                  <c:v>0.66490875576036856</c:v>
                </c:pt>
                <c:pt idx="14">
                  <c:v>0.65965407066052217</c:v>
                </c:pt>
                <c:pt idx="15">
                  <c:v>0.62920337941628257</c:v>
                </c:pt>
                <c:pt idx="16">
                  <c:v>0.40319981566820279</c:v>
                </c:pt>
                <c:pt idx="17">
                  <c:v>1.0775200921658986E-3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6B-49C8-9557-7F1B172DA6DE}"/>
            </c:ext>
          </c:extLst>
        </c:ser>
        <c:ser>
          <c:idx val="7"/>
          <c:order val="7"/>
          <c:tx>
            <c:strRef>
              <c:f>Monthly!$P$4</c:f>
              <c:strCache>
                <c:ptCount val="1"/>
                <c:pt idx="0">
                  <c:v>Aug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Monthly!$P$5:$P$28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7.145622119815669E-5</c:v>
                </c:pt>
                <c:pt idx="7">
                  <c:v>0.3331678648233487</c:v>
                </c:pt>
                <c:pt idx="8">
                  <c:v>0.69892073732718896</c:v>
                </c:pt>
                <c:pt idx="9">
                  <c:v>0.74527619047619054</c:v>
                </c:pt>
                <c:pt idx="10">
                  <c:v>0.7656617511520738</c:v>
                </c:pt>
                <c:pt idx="11">
                  <c:v>0.74671766513056825</c:v>
                </c:pt>
                <c:pt idx="12">
                  <c:v>0.75116559139784955</c:v>
                </c:pt>
                <c:pt idx="13">
                  <c:v>0.73779016897081418</c:v>
                </c:pt>
                <c:pt idx="14">
                  <c:v>0.72717603686635957</c:v>
                </c:pt>
                <c:pt idx="15">
                  <c:v>0.70151152073732725</c:v>
                </c:pt>
                <c:pt idx="16">
                  <c:v>0.44587311827956977</c:v>
                </c:pt>
                <c:pt idx="17">
                  <c:v>8.91505376344086E-3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6B-49C8-9557-7F1B172DA6DE}"/>
            </c:ext>
          </c:extLst>
        </c:ser>
        <c:ser>
          <c:idx val="8"/>
          <c:order val="8"/>
          <c:tx>
            <c:strRef>
              <c:f>Monthly!$Q$4</c:f>
              <c:strCache>
                <c:ptCount val="1"/>
                <c:pt idx="0">
                  <c:v>Sep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Monthly!$Q$5:$Q$28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3.755334761904762E-2</c:v>
                </c:pt>
                <c:pt idx="7">
                  <c:v>0.48586041269841268</c:v>
                </c:pt>
                <c:pt idx="8">
                  <c:v>0.70112977777777785</c:v>
                </c:pt>
                <c:pt idx="9">
                  <c:v>0.74156</c:v>
                </c:pt>
                <c:pt idx="10">
                  <c:v>0.78328730158730164</c:v>
                </c:pt>
                <c:pt idx="11">
                  <c:v>0.7291561904761904</c:v>
                </c:pt>
                <c:pt idx="12">
                  <c:v>0.72559587301587314</c:v>
                </c:pt>
                <c:pt idx="13">
                  <c:v>0.72463047619047638</c:v>
                </c:pt>
                <c:pt idx="14">
                  <c:v>0.69532380952380968</c:v>
                </c:pt>
                <c:pt idx="15">
                  <c:v>0.66132095238095234</c:v>
                </c:pt>
                <c:pt idx="16">
                  <c:v>0.47907587301587301</c:v>
                </c:pt>
                <c:pt idx="17">
                  <c:v>3.1961187301587299E-2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6B-49C8-9557-7F1B172DA6DE}"/>
            </c:ext>
          </c:extLst>
        </c:ser>
        <c:ser>
          <c:idx val="9"/>
          <c:order val="9"/>
          <c:tx>
            <c:strRef>
              <c:f>Monthly!$R$4</c:f>
              <c:strCache>
                <c:ptCount val="1"/>
                <c:pt idx="0">
                  <c:v>Oct</c:v>
                </c:pt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Monthly!$R$5:$R$28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0.26080393241167432</c:v>
                </c:pt>
                <c:pt idx="7">
                  <c:v>0.66267996927803363</c:v>
                </c:pt>
                <c:pt idx="8">
                  <c:v>0.733274039938556</c:v>
                </c:pt>
                <c:pt idx="9">
                  <c:v>0.7541263287250386</c:v>
                </c:pt>
                <c:pt idx="10">
                  <c:v>0.78504454685099834</c:v>
                </c:pt>
                <c:pt idx="11">
                  <c:v>0.75616436251920116</c:v>
                </c:pt>
                <c:pt idx="12">
                  <c:v>0.74337880184331795</c:v>
                </c:pt>
                <c:pt idx="13">
                  <c:v>0.72998125960061444</c:v>
                </c:pt>
                <c:pt idx="14">
                  <c:v>0.71912811059907866</c:v>
                </c:pt>
                <c:pt idx="15">
                  <c:v>0.67630107526881722</c:v>
                </c:pt>
                <c:pt idx="16">
                  <c:v>0.59414377880184321</c:v>
                </c:pt>
                <c:pt idx="17">
                  <c:v>7.9308018433179708E-2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6B-49C8-9557-7F1B172DA6DE}"/>
            </c:ext>
          </c:extLst>
        </c:ser>
        <c:ser>
          <c:idx val="10"/>
          <c:order val="10"/>
          <c:tx>
            <c:strRef>
              <c:f>Monthly!$S$4</c:f>
              <c:strCache>
                <c:ptCount val="1"/>
                <c:pt idx="0">
                  <c:v>Nov</c:v>
                </c:pt>
              </c:strCache>
            </c:strRef>
          </c:tx>
          <c:spPr>
            <a:ln w="127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Monthly!$S$5:$S$28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2.0565634920634922E-4</c:v>
                </c:pt>
                <c:pt idx="6">
                  <c:v>0.30654406349206348</c:v>
                </c:pt>
                <c:pt idx="7">
                  <c:v>0.60195047619047626</c:v>
                </c:pt>
                <c:pt idx="8">
                  <c:v>0.65527650793650805</c:v>
                </c:pt>
                <c:pt idx="9">
                  <c:v>0.69672031746031737</c:v>
                </c:pt>
                <c:pt idx="10">
                  <c:v>0.72125193650793662</c:v>
                </c:pt>
                <c:pt idx="11">
                  <c:v>0.69182412698412699</c:v>
                </c:pt>
                <c:pt idx="12">
                  <c:v>0.70929111111111121</c:v>
                </c:pt>
                <c:pt idx="13">
                  <c:v>0.69010190476190481</c:v>
                </c:pt>
                <c:pt idx="14">
                  <c:v>0.64713428571428544</c:v>
                </c:pt>
                <c:pt idx="15">
                  <c:v>0.60217682539682549</c:v>
                </c:pt>
                <c:pt idx="16">
                  <c:v>0.52776253968253972</c:v>
                </c:pt>
                <c:pt idx="17">
                  <c:v>0.19358815873015875</c:v>
                </c:pt>
                <c:pt idx="18">
                  <c:v>3.6571428571428573E-4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6B-49C8-9557-7F1B172DA6DE}"/>
            </c:ext>
          </c:extLst>
        </c:ser>
        <c:ser>
          <c:idx val="11"/>
          <c:order val="11"/>
          <c:tx>
            <c:strRef>
              <c:f>Monthly!$T$4</c:f>
              <c:strCache>
                <c:ptCount val="1"/>
                <c:pt idx="0">
                  <c:v>Dec</c:v>
                </c:pt>
              </c:strCache>
            </c:strRef>
          </c:tx>
          <c:spPr>
            <a:ln w="127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Monthly!$T$5:$T$28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2.9547557603686639E-4</c:v>
                </c:pt>
                <c:pt idx="6">
                  <c:v>0.29312377880184332</c:v>
                </c:pt>
                <c:pt idx="7">
                  <c:v>0.56287680491551462</c:v>
                </c:pt>
                <c:pt idx="8">
                  <c:v>0.62743901689708159</c:v>
                </c:pt>
                <c:pt idx="9">
                  <c:v>0.6667545314900154</c:v>
                </c:pt>
                <c:pt idx="10">
                  <c:v>0.683436866359447</c:v>
                </c:pt>
                <c:pt idx="11">
                  <c:v>0.64793456221198165</c:v>
                </c:pt>
                <c:pt idx="12">
                  <c:v>0.64473579109062973</c:v>
                </c:pt>
                <c:pt idx="13">
                  <c:v>0.64661536098310279</c:v>
                </c:pt>
                <c:pt idx="14">
                  <c:v>0.61259815668202744</c:v>
                </c:pt>
                <c:pt idx="15">
                  <c:v>0.57593917050691246</c:v>
                </c:pt>
                <c:pt idx="16">
                  <c:v>0.51412596006144395</c:v>
                </c:pt>
                <c:pt idx="17">
                  <c:v>0.30023941628264206</c:v>
                </c:pt>
                <c:pt idx="18">
                  <c:v>2.9068294930875574E-3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6B-49C8-9557-7F1B172DA6DE}"/>
            </c:ext>
          </c:extLst>
        </c:ser>
        <c:ser>
          <c:idx val="12"/>
          <c:order val="12"/>
          <c:tx>
            <c:strRef>
              <c:f>Monthly!$U$4</c:f>
              <c:strCache>
                <c:ptCount val="1"/>
                <c:pt idx="0">
                  <c:v>Avg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Monthly!$H$5:$H$28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Monthly!$U$5:$U$28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4.1760993770267967E-5</c:v>
                </c:pt>
                <c:pt idx="6">
                  <c:v>9.5996812392936393E-2</c:v>
                </c:pt>
                <c:pt idx="7">
                  <c:v>0.42610358440738305</c:v>
                </c:pt>
                <c:pt idx="8">
                  <c:v>0.64102766954989887</c:v>
                </c:pt>
                <c:pt idx="9">
                  <c:v>0.68086762595396577</c:v>
                </c:pt>
                <c:pt idx="10">
                  <c:v>0.70665897187477134</c:v>
                </c:pt>
                <c:pt idx="11">
                  <c:v>0.68648498945456315</c:v>
                </c:pt>
                <c:pt idx="12">
                  <c:v>0.68082226281910607</c:v>
                </c:pt>
                <c:pt idx="13">
                  <c:v>0.67512211009923684</c:v>
                </c:pt>
                <c:pt idx="14">
                  <c:v>0.65432485719162214</c:v>
                </c:pt>
                <c:pt idx="15">
                  <c:v>0.62263356015165938</c:v>
                </c:pt>
                <c:pt idx="16">
                  <c:v>0.48075042768146675</c:v>
                </c:pt>
                <c:pt idx="17">
                  <c:v>0.12506745259612803</c:v>
                </c:pt>
                <c:pt idx="18">
                  <c:v>1.5020905659790798E-3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6B-49C8-9557-7F1B172DA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2426543"/>
        <c:axId val="1082414895"/>
      </c:lineChart>
      <c:catAx>
        <c:axId val="1082426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Hour beginning of the day</a:t>
                </a:r>
              </a:p>
            </c:rich>
          </c:tx>
          <c:layout>
            <c:manualLayout>
              <c:xMode val="edge"/>
              <c:yMode val="edge"/>
              <c:x val="0.33537155555555559"/>
              <c:y val="0.90496148148148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14895"/>
        <c:crosses val="autoZero"/>
        <c:auto val="1"/>
        <c:lblAlgn val="ctr"/>
        <c:lblOffset val="100"/>
        <c:noMultiLvlLbl val="0"/>
      </c:catAx>
      <c:valAx>
        <c:axId val="108241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maximum output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2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output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/>
            </a:solidFill>
            <a:ln>
              <a:solidFill>
                <a:schemeClr val="bg2"/>
              </a:solidFill>
            </a:ln>
            <a:effectLst/>
          </c:spPr>
          <c:invertIfNegative val="0"/>
          <c:dLbls>
            <c:dLbl>
              <c:idx val="3"/>
              <c:layout>
                <c:manualLayout>
                  <c:x val="-2.742192847411003E-3"/>
                  <c:y val="-1.4411532857538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A7B-49A8-9410-7BE74C3B1599}"/>
                </c:ext>
              </c:extLst>
            </c:dLbl>
            <c:dLbl>
              <c:idx val="4"/>
              <c:layout>
                <c:manualLayout>
                  <c:x val="0"/>
                  <c:y val="-1.92153771433845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7B-49A8-9410-7BE74C3B1599}"/>
                </c:ext>
              </c:extLst>
            </c:dLbl>
            <c:dLbl>
              <c:idx val="5"/>
              <c:layout>
                <c:manualLayout>
                  <c:x val="-5.027295477840483E-17"/>
                  <c:y val="1.44115328575383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A7B-49A8-9410-7BE74C3B1599}"/>
                </c:ext>
              </c:extLst>
            </c:dLbl>
            <c:dLbl>
              <c:idx val="6"/>
              <c:layout>
                <c:manualLayout>
                  <c:x val="-2.742192847411003E-3"/>
                  <c:y val="1.92153771433845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A7B-49A8-9410-7BE74C3B15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Monthly!$I$4:$T$4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Monthly!$I$29:$T$29</c:f>
              <c:numCache>
                <c:formatCode>0.0%</c:formatCode>
                <c:ptCount val="12"/>
                <c:pt idx="0">
                  <c:v>0.28812193689196114</c:v>
                </c:pt>
                <c:pt idx="1">
                  <c:v>0.27311293981009077</c:v>
                </c:pt>
                <c:pt idx="2">
                  <c:v>0.26094187408346131</c:v>
                </c:pt>
                <c:pt idx="3">
                  <c:v>0.25646609699603179</c:v>
                </c:pt>
                <c:pt idx="4">
                  <c:v>0.25167360475678446</c:v>
                </c:pt>
                <c:pt idx="5">
                  <c:v>0.22030264510582012</c:v>
                </c:pt>
                <c:pt idx="6">
                  <c:v>0.23907249326548904</c:v>
                </c:pt>
                <c:pt idx="7">
                  <c:v>0.27759363146441379</c:v>
                </c:pt>
                <c:pt idx="8">
                  <c:v>0.28318563339947095</c:v>
                </c:pt>
                <c:pt idx="9">
                  <c:v>0.31226392601126474</c:v>
                </c:pt>
                <c:pt idx="10">
                  <c:v>0.29350806769179894</c:v>
                </c:pt>
                <c:pt idx="11">
                  <c:v>0.28245923838965697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7-4E58-B368-5C4655AC0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7088879"/>
        <c:axId val="977083887"/>
      </c:barChart>
      <c:lineChart>
        <c:grouping val="standard"/>
        <c:varyColors val="0"/>
        <c:ser>
          <c:idx val="1"/>
          <c:order val="1"/>
          <c:tx>
            <c:v>Average</c:v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7B-49A8-9410-7BE74C3B159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7B-49A8-9410-7BE74C3B159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7B-49A8-9410-7BE74C3B159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7B-49A8-9410-7BE74C3B159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7B-49A8-9410-7BE74C3B1599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A7B-49A8-9410-7BE74C3B1599}"/>
                </c:ext>
              </c:extLst>
            </c:dLbl>
            <c:dLbl>
              <c:idx val="6"/>
              <c:layout>
                <c:manualLayout>
                  <c:x val="-6.2227265170048347E-2"/>
                  <c:y val="-0.1224620950207965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7B-49A8-9410-7BE74C3B1599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7B-49A8-9410-7BE74C3B159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7B-49A8-9410-7BE74C3B159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7B-49A8-9410-7BE74C3B159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7B-49A8-9410-7BE74C3B159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7B-49A8-9410-7BE74C3B15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Monthly!$I$30:$T$30</c:f>
              <c:numCache>
                <c:formatCode>0.0%</c:formatCode>
                <c:ptCount val="12"/>
                <c:pt idx="0">
                  <c:v>0.26989184065552035</c:v>
                </c:pt>
                <c:pt idx="1">
                  <c:v>0.26989184065552035</c:v>
                </c:pt>
                <c:pt idx="2">
                  <c:v>0.26989184065552035</c:v>
                </c:pt>
                <c:pt idx="3">
                  <c:v>0.26989184065552035</c:v>
                </c:pt>
                <c:pt idx="4">
                  <c:v>0.26989184065552035</c:v>
                </c:pt>
                <c:pt idx="5">
                  <c:v>0.26989184065552035</c:v>
                </c:pt>
                <c:pt idx="6">
                  <c:v>0.26989184065552035</c:v>
                </c:pt>
                <c:pt idx="7">
                  <c:v>0.26989184065552035</c:v>
                </c:pt>
                <c:pt idx="8">
                  <c:v>0.26989184065552035</c:v>
                </c:pt>
                <c:pt idx="9">
                  <c:v>0.26989184065552035</c:v>
                </c:pt>
                <c:pt idx="10">
                  <c:v>0.26989184065552035</c:v>
                </c:pt>
                <c:pt idx="11">
                  <c:v>0.26989184065552035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F7-4E58-B368-5C4655AC0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088879"/>
        <c:axId val="977083887"/>
      </c:lineChart>
      <c:catAx>
        <c:axId val="977088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083887"/>
        <c:crosses val="autoZero"/>
        <c:auto val="1"/>
        <c:lblAlgn val="ctr"/>
        <c:lblOffset val="100"/>
        <c:noMultiLvlLbl val="0"/>
      </c:catAx>
      <c:valAx>
        <c:axId val="97708388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pof maximum output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088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58304</xdr:colOff>
      <xdr:row>1</xdr:row>
      <xdr:rowOff>110265</xdr:rowOff>
    </xdr:from>
    <xdr:to>
      <xdr:col>29</xdr:col>
      <xdr:colOff>349409</xdr:colOff>
      <xdr:row>16</xdr:row>
      <xdr:rowOff>74064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C0BA2B-C93B-FAC4-D0E9-879F292FB9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58304</xdr:colOff>
      <xdr:row>16</xdr:row>
      <xdr:rowOff>75196</xdr:rowOff>
    </xdr:from>
    <xdr:to>
      <xdr:col>29</xdr:col>
      <xdr:colOff>349409</xdr:colOff>
      <xdr:row>31</xdr:row>
      <xdr:rowOff>6668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FF281F-7A38-1746-A37D-5B7FA9459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APV">
  <a:themeElements>
    <a:clrScheme name="APV">
      <a:dk1>
        <a:sysClr val="windowText" lastClr="000000"/>
      </a:dk1>
      <a:lt1>
        <a:sysClr val="window" lastClr="FFFFFF"/>
      </a:lt1>
      <a:dk2>
        <a:srgbClr val="0F3BC0"/>
      </a:dk2>
      <a:lt2>
        <a:srgbClr val="18A8A6"/>
      </a:lt2>
      <a:accent1>
        <a:srgbClr val="008F0A"/>
      </a:accent1>
      <a:accent2>
        <a:srgbClr val="FFCE00"/>
      </a:accent2>
      <a:accent3>
        <a:srgbClr val="FF0000"/>
      </a:accent3>
      <a:accent4>
        <a:srgbClr val="800080"/>
      </a:accent4>
      <a:accent5>
        <a:srgbClr val="FE7811"/>
      </a:accent5>
      <a:accent6>
        <a:srgbClr val="FFA7CF"/>
      </a:accent6>
      <a:hlink>
        <a:srgbClr val="1D33FF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明朝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PV" id="{1A571B6B-5E82-4F0A-BD41-9F6186E7E48B}" vid="{6DA99C21-0BA8-4BB7-A400-C51B0EC94BB0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70DC0-BBE9-42B9-BE11-507AB3633FA8}">
  <sheetPr codeName="Sheet20"/>
  <dimension ref="A1:BF30"/>
  <sheetViews>
    <sheetView showGridLines="0" tabSelected="1" topLeftCell="F1" zoomScale="80" zoomScaleNormal="80" workbookViewId="0">
      <selection activeCell="N11" sqref="N11"/>
    </sheetView>
  </sheetViews>
  <sheetFormatPr defaultColWidth="0" defaultRowHeight="14.5" x14ac:dyDescent="0.35"/>
  <cols>
    <col min="1" max="7" width="8.81640625" customWidth="1"/>
    <col min="8" max="8" width="8.81640625" style="6" customWidth="1"/>
    <col min="9" max="9" width="7.1796875" bestFit="1" customWidth="1"/>
    <col min="10" max="10" width="7.81640625" bestFit="1" customWidth="1"/>
    <col min="11" max="14" width="7.54296875" bestFit="1" customWidth="1"/>
    <col min="15" max="36" width="8.54296875" bestFit="1" customWidth="1"/>
    <col min="37" max="37" width="7.1796875" bestFit="1" customWidth="1"/>
    <col min="38" max="38" width="8.81640625" hidden="1" customWidth="1"/>
    <col min="39" max="58" width="0" hidden="1" customWidth="1"/>
    <col min="59" max="16384" width="8.81640625" hidden="1"/>
  </cols>
  <sheetData>
    <row r="1" spans="8:21" ht="15.5" x14ac:dyDescent="0.35">
      <c r="I1" s="14" t="s">
        <v>14</v>
      </c>
    </row>
    <row r="3" spans="8:21" x14ac:dyDescent="0.35">
      <c r="I3" s="2">
        <v>1</v>
      </c>
      <c r="J3" s="2">
        <v>2</v>
      </c>
      <c r="K3" s="2">
        <v>3</v>
      </c>
      <c r="L3" s="2">
        <v>4</v>
      </c>
      <c r="M3" s="2">
        <v>5</v>
      </c>
      <c r="N3" s="2">
        <v>6</v>
      </c>
      <c r="O3" s="2">
        <v>7</v>
      </c>
      <c r="P3" s="2">
        <v>8</v>
      </c>
      <c r="Q3" s="2">
        <v>9</v>
      </c>
      <c r="R3" s="2">
        <v>10</v>
      </c>
      <c r="S3" s="2">
        <v>11</v>
      </c>
      <c r="T3" s="3">
        <v>12</v>
      </c>
      <c r="U3" s="3"/>
    </row>
    <row r="4" spans="8:21" x14ac:dyDescent="0.35">
      <c r="H4" s="1" t="s">
        <v>0</v>
      </c>
      <c r="I4" s="4" t="s">
        <v>1</v>
      </c>
      <c r="J4" s="4" t="s">
        <v>2</v>
      </c>
      <c r="K4" s="4" t="s">
        <v>3</v>
      </c>
      <c r="L4" s="4" t="s">
        <v>4</v>
      </c>
      <c r="M4" s="4" t="s">
        <v>5</v>
      </c>
      <c r="N4" s="4" t="s">
        <v>6</v>
      </c>
      <c r="O4" s="4" t="s">
        <v>7</v>
      </c>
      <c r="P4" s="4" t="s">
        <v>8</v>
      </c>
      <c r="Q4" s="4" t="s">
        <v>9</v>
      </c>
      <c r="R4" s="4" t="s">
        <v>10</v>
      </c>
      <c r="S4" s="4" t="s">
        <v>11</v>
      </c>
      <c r="T4" s="5" t="s">
        <v>12</v>
      </c>
      <c r="U4" s="5" t="s">
        <v>13</v>
      </c>
    </row>
    <row r="5" spans="8:21" x14ac:dyDescent="0.35">
      <c r="H5" s="12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9">
        <f>AVERAGE(I5:T5)</f>
        <v>0</v>
      </c>
    </row>
    <row r="6" spans="8:21" x14ac:dyDescent="0.35">
      <c r="H6" s="13">
        <v>1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9">
        <f t="shared" ref="U6:U29" si="0">AVERAGE(I6:T6)</f>
        <v>0</v>
      </c>
    </row>
    <row r="7" spans="8:21" x14ac:dyDescent="0.35">
      <c r="H7" s="13">
        <v>2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9">
        <f t="shared" si="0"/>
        <v>0</v>
      </c>
    </row>
    <row r="8" spans="8:21" x14ac:dyDescent="0.35">
      <c r="H8" s="13">
        <v>3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9">
        <f t="shared" si="0"/>
        <v>0</v>
      </c>
    </row>
    <row r="9" spans="8:21" x14ac:dyDescent="0.35">
      <c r="H9" s="13">
        <v>4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9">
        <f t="shared" si="0"/>
        <v>0</v>
      </c>
    </row>
    <row r="10" spans="8:21" x14ac:dyDescent="0.35">
      <c r="H10" s="13">
        <v>5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2.0565634920634922E-4</v>
      </c>
      <c r="T10" s="8">
        <v>2.9547557603686639E-4</v>
      </c>
      <c r="U10" s="9">
        <f t="shared" si="0"/>
        <v>4.1760993770267967E-5</v>
      </c>
    </row>
    <row r="11" spans="8:21" x14ac:dyDescent="0.35">
      <c r="H11" s="13">
        <v>6</v>
      </c>
      <c r="I11" s="8">
        <v>0.199229668202765</v>
      </c>
      <c r="J11" s="8">
        <v>4.6806770068027234E-2</v>
      </c>
      <c r="K11" s="8">
        <v>7.5374801843317964E-3</v>
      </c>
      <c r="L11" s="8">
        <v>2.9125171428571426E-4</v>
      </c>
      <c r="M11" s="8">
        <v>0</v>
      </c>
      <c r="N11" s="8">
        <v>0</v>
      </c>
      <c r="O11" s="8">
        <v>0</v>
      </c>
      <c r="P11" s="8">
        <v>7.145622119815669E-5</v>
      </c>
      <c r="Q11" s="8">
        <v>3.755334761904762E-2</v>
      </c>
      <c r="R11" s="8">
        <v>0.26080393241167432</v>
      </c>
      <c r="S11" s="8">
        <v>0.30654406349206348</v>
      </c>
      <c r="T11" s="8">
        <v>0.29312377880184332</v>
      </c>
      <c r="U11" s="9">
        <f t="shared" si="0"/>
        <v>9.5996812392936393E-2</v>
      </c>
    </row>
    <row r="12" spans="8:21" x14ac:dyDescent="0.35">
      <c r="H12" s="13">
        <v>7</v>
      </c>
      <c r="I12" s="8">
        <v>0.53589649769585257</v>
      </c>
      <c r="J12" s="8">
        <v>0.41632591836734695</v>
      </c>
      <c r="K12" s="8">
        <v>0.40923072196620586</v>
      </c>
      <c r="L12" s="8">
        <v>0.39269942857142864</v>
      </c>
      <c r="M12" s="8">
        <v>0.31652423963133636</v>
      </c>
      <c r="N12" s="8">
        <v>0.19813250793650797</v>
      </c>
      <c r="O12" s="8">
        <v>0.19789817081413211</v>
      </c>
      <c r="P12" s="8">
        <v>0.3331678648233487</v>
      </c>
      <c r="Q12" s="8">
        <v>0.48586041269841268</v>
      </c>
      <c r="R12" s="8">
        <v>0.66267996927803363</v>
      </c>
      <c r="S12" s="8">
        <v>0.60195047619047626</v>
      </c>
      <c r="T12" s="8">
        <v>0.56287680491551462</v>
      </c>
      <c r="U12" s="9">
        <f t="shared" si="0"/>
        <v>0.42610358440738305</v>
      </c>
    </row>
    <row r="13" spans="8:21" x14ac:dyDescent="0.35">
      <c r="H13" s="13">
        <v>8</v>
      </c>
      <c r="I13" s="8">
        <v>0.63248046082949305</v>
      </c>
      <c r="J13" s="8">
        <v>0.56525425170068011</v>
      </c>
      <c r="K13" s="8">
        <v>0.63557542242703524</v>
      </c>
      <c r="L13" s="8">
        <v>0.64598819047619049</v>
      </c>
      <c r="M13" s="8">
        <v>0.66502571428571433</v>
      </c>
      <c r="N13" s="8">
        <v>0.54390250793650796</v>
      </c>
      <c r="O13" s="8">
        <v>0.58806540706605248</v>
      </c>
      <c r="P13" s="8">
        <v>0.69892073732718896</v>
      </c>
      <c r="Q13" s="8">
        <v>0.70112977777777785</v>
      </c>
      <c r="R13" s="8">
        <v>0.733274039938556</v>
      </c>
      <c r="S13" s="8">
        <v>0.65527650793650805</v>
      </c>
      <c r="T13" s="8">
        <v>0.62743901689708159</v>
      </c>
      <c r="U13" s="9">
        <f t="shared" si="0"/>
        <v>0.64102766954989887</v>
      </c>
    </row>
    <row r="14" spans="8:21" x14ac:dyDescent="0.35">
      <c r="H14" s="13">
        <v>9</v>
      </c>
      <c r="I14" s="8">
        <v>0.675813149001536</v>
      </c>
      <c r="J14" s="8">
        <v>0.62590887755102032</v>
      </c>
      <c r="K14" s="8">
        <v>0.66825652841781891</v>
      </c>
      <c r="L14" s="8">
        <v>0.70342066666666669</v>
      </c>
      <c r="M14" s="8">
        <v>0.68836055299539167</v>
      </c>
      <c r="N14" s="8">
        <v>0.57372066666666666</v>
      </c>
      <c r="O14" s="8">
        <v>0.63049370199692789</v>
      </c>
      <c r="P14" s="8">
        <v>0.74527619047619054</v>
      </c>
      <c r="Q14" s="8">
        <v>0.74156</v>
      </c>
      <c r="R14" s="8">
        <v>0.7541263287250386</v>
      </c>
      <c r="S14" s="8">
        <v>0.69672031746031737</v>
      </c>
      <c r="T14" s="8">
        <v>0.6667545314900154</v>
      </c>
      <c r="U14" s="9">
        <f t="shared" si="0"/>
        <v>0.68086762595396577</v>
      </c>
    </row>
    <row r="15" spans="8:21" x14ac:dyDescent="0.35">
      <c r="H15" s="13">
        <v>10</v>
      </c>
      <c r="I15" s="8">
        <v>0.75731059907834108</v>
      </c>
      <c r="J15" s="8">
        <v>0.66658006802721093</v>
      </c>
      <c r="K15" s="8">
        <v>0.69985253456221197</v>
      </c>
      <c r="L15" s="8">
        <v>0.68290285714285714</v>
      </c>
      <c r="M15" s="8">
        <v>0.69383594470046084</v>
      </c>
      <c r="N15" s="8">
        <v>0.59165999999999985</v>
      </c>
      <c r="O15" s="8">
        <v>0.6490832565284177</v>
      </c>
      <c r="P15" s="8">
        <v>0.7656617511520738</v>
      </c>
      <c r="Q15" s="8">
        <v>0.78328730158730164</v>
      </c>
      <c r="R15" s="8">
        <v>0.78504454685099834</v>
      </c>
      <c r="S15" s="8">
        <v>0.72125193650793662</v>
      </c>
      <c r="T15" s="8">
        <v>0.683436866359447</v>
      </c>
      <c r="U15" s="9">
        <f t="shared" si="0"/>
        <v>0.70665897187477134</v>
      </c>
    </row>
    <row r="16" spans="8:21" x14ac:dyDescent="0.35">
      <c r="H16" s="13">
        <v>11</v>
      </c>
      <c r="I16" s="8">
        <v>0.715869124423963</v>
      </c>
      <c r="J16" s="8">
        <v>0.66531911564625845</v>
      </c>
      <c r="K16" s="8">
        <v>0.64090445468509971</v>
      </c>
      <c r="L16" s="8">
        <v>0.69636158730158726</v>
      </c>
      <c r="M16" s="8">
        <v>0.68591643625192011</v>
      </c>
      <c r="N16" s="8">
        <v>0.61101015873015863</v>
      </c>
      <c r="O16" s="8">
        <v>0.65064208909370191</v>
      </c>
      <c r="P16" s="8">
        <v>0.74671766513056825</v>
      </c>
      <c r="Q16" s="8">
        <v>0.7291561904761904</v>
      </c>
      <c r="R16" s="8">
        <v>0.75616436251920116</v>
      </c>
      <c r="S16" s="8">
        <v>0.69182412698412699</v>
      </c>
      <c r="T16" s="8">
        <v>0.64793456221198165</v>
      </c>
      <c r="U16" s="9">
        <f t="shared" si="0"/>
        <v>0.68648498945456315</v>
      </c>
    </row>
    <row r="17" spans="8:21" x14ac:dyDescent="0.35">
      <c r="H17" s="13">
        <v>12</v>
      </c>
      <c r="I17" s="8">
        <v>0.67051090629800303</v>
      </c>
      <c r="J17" s="8">
        <v>0.66915170068027219</v>
      </c>
      <c r="K17" s="8">
        <v>0.64061290322580644</v>
      </c>
      <c r="L17" s="8">
        <v>0.66829365079365088</v>
      </c>
      <c r="M17" s="8">
        <v>0.67414254992319511</v>
      </c>
      <c r="N17" s="8">
        <v>0.609474603174603</v>
      </c>
      <c r="O17" s="8">
        <v>0.66351367127496186</v>
      </c>
      <c r="P17" s="8">
        <v>0.75116559139784955</v>
      </c>
      <c r="Q17" s="8">
        <v>0.72559587301587314</v>
      </c>
      <c r="R17" s="8">
        <v>0.74337880184331795</v>
      </c>
      <c r="S17" s="8">
        <v>0.70929111111111121</v>
      </c>
      <c r="T17" s="8">
        <v>0.64473579109062973</v>
      </c>
      <c r="U17" s="9">
        <f t="shared" si="0"/>
        <v>0.68082226281910607</v>
      </c>
    </row>
    <row r="18" spans="8:21" x14ac:dyDescent="0.35">
      <c r="H18" s="13">
        <v>13</v>
      </c>
      <c r="I18" s="8">
        <v>0.65537333333333336</v>
      </c>
      <c r="J18" s="8">
        <v>0.67019319727891169</v>
      </c>
      <c r="K18" s="8">
        <v>0.63100215053763453</v>
      </c>
      <c r="L18" s="8">
        <v>0.65882726984126982</v>
      </c>
      <c r="M18" s="8">
        <v>0.66350906298003065</v>
      </c>
      <c r="N18" s="8">
        <v>0.62853238095238095</v>
      </c>
      <c r="O18" s="8">
        <v>0.66490875576036856</v>
      </c>
      <c r="P18" s="8">
        <v>0.73779016897081418</v>
      </c>
      <c r="Q18" s="8">
        <v>0.72463047619047638</v>
      </c>
      <c r="R18" s="8">
        <v>0.72998125960061444</v>
      </c>
      <c r="S18" s="8">
        <v>0.69010190476190481</v>
      </c>
      <c r="T18" s="8">
        <v>0.64661536098310279</v>
      </c>
      <c r="U18" s="9">
        <f t="shared" si="0"/>
        <v>0.67512211009923684</v>
      </c>
    </row>
    <row r="19" spans="8:21" x14ac:dyDescent="0.35">
      <c r="H19" s="13">
        <v>14</v>
      </c>
      <c r="I19" s="8">
        <v>0.62376294930875575</v>
      </c>
      <c r="J19" s="8">
        <v>0.62849136054421761</v>
      </c>
      <c r="K19" s="8">
        <v>0.63590814132104445</v>
      </c>
      <c r="L19" s="8">
        <v>0.62360612698412687</v>
      </c>
      <c r="M19" s="8">
        <v>0.6607685714285717</v>
      </c>
      <c r="N19" s="8">
        <v>0.61834666666666671</v>
      </c>
      <c r="O19" s="8">
        <v>0.65965407066052217</v>
      </c>
      <c r="P19" s="8">
        <v>0.72717603686635957</v>
      </c>
      <c r="Q19" s="8">
        <v>0.69532380952380968</v>
      </c>
      <c r="R19" s="8">
        <v>0.71912811059907866</v>
      </c>
      <c r="S19" s="8">
        <v>0.64713428571428544</v>
      </c>
      <c r="T19" s="8">
        <v>0.61259815668202744</v>
      </c>
      <c r="U19" s="9">
        <f t="shared" si="0"/>
        <v>0.65432485719162214</v>
      </c>
    </row>
    <row r="20" spans="8:21" x14ac:dyDescent="0.35">
      <c r="H20" s="13">
        <v>15</v>
      </c>
      <c r="I20" s="8">
        <v>0.57710623655913984</v>
      </c>
      <c r="J20" s="8">
        <v>0.64292585034013616</v>
      </c>
      <c r="K20" s="8">
        <v>0.59942549923195076</v>
      </c>
      <c r="L20" s="8">
        <v>0.59843380952380965</v>
      </c>
      <c r="M20" s="8">
        <v>0.62259268817204316</v>
      </c>
      <c r="N20" s="8">
        <v>0.58466571428571446</v>
      </c>
      <c r="O20" s="8">
        <v>0.62920337941628257</v>
      </c>
      <c r="P20" s="8">
        <v>0.70151152073732725</v>
      </c>
      <c r="Q20" s="8">
        <v>0.66132095238095234</v>
      </c>
      <c r="R20" s="8">
        <v>0.67630107526881722</v>
      </c>
      <c r="S20" s="8">
        <v>0.60217682539682549</v>
      </c>
      <c r="T20" s="8">
        <v>0.57593917050691246</v>
      </c>
      <c r="U20" s="9">
        <f t="shared" si="0"/>
        <v>0.62263356015165938</v>
      </c>
    </row>
    <row r="21" spans="8:21" x14ac:dyDescent="0.35">
      <c r="H21" s="13">
        <v>16</v>
      </c>
      <c r="I21" s="8">
        <v>0.52568795698924731</v>
      </c>
      <c r="J21" s="8">
        <v>0.60005945578231301</v>
      </c>
      <c r="K21" s="8">
        <v>0.52460675883256525</v>
      </c>
      <c r="L21" s="8">
        <v>0.4577490793650793</v>
      </c>
      <c r="M21" s="8">
        <v>0.36909898617511516</v>
      </c>
      <c r="N21" s="8">
        <v>0.32762180952380948</v>
      </c>
      <c r="O21" s="8">
        <v>0.40319981566820279</v>
      </c>
      <c r="P21" s="8">
        <v>0.44587311827956977</v>
      </c>
      <c r="Q21" s="8">
        <v>0.47907587301587301</v>
      </c>
      <c r="R21" s="8">
        <v>0.59414377880184321</v>
      </c>
      <c r="S21" s="8">
        <v>0.52776253968253972</v>
      </c>
      <c r="T21" s="8">
        <v>0.51412596006144395</v>
      </c>
      <c r="U21" s="9">
        <f t="shared" si="0"/>
        <v>0.48075042768146675</v>
      </c>
    </row>
    <row r="22" spans="8:21" x14ac:dyDescent="0.35">
      <c r="H22" s="13">
        <v>17</v>
      </c>
      <c r="I22" s="8">
        <v>0.33600110599078348</v>
      </c>
      <c r="J22" s="8">
        <v>0.35282874149659854</v>
      </c>
      <c r="K22" s="8">
        <v>0.16968958525345623</v>
      </c>
      <c r="L22" s="8">
        <v>2.6612409523809517E-2</v>
      </c>
      <c r="M22" s="8">
        <v>3.9176761904761916E-4</v>
      </c>
      <c r="N22" s="8">
        <v>1.9646666666666665E-4</v>
      </c>
      <c r="O22" s="8">
        <v>1.0775200921658986E-3</v>
      </c>
      <c r="P22" s="8">
        <v>8.91505376344086E-3</v>
      </c>
      <c r="Q22" s="8">
        <v>3.1961187301587299E-2</v>
      </c>
      <c r="R22" s="8">
        <v>7.9308018433179708E-2</v>
      </c>
      <c r="S22" s="8">
        <v>0.19358815873015875</v>
      </c>
      <c r="T22" s="8">
        <v>0.30023941628264206</v>
      </c>
      <c r="U22" s="9">
        <f t="shared" si="0"/>
        <v>0.12506745259612803</v>
      </c>
    </row>
    <row r="23" spans="8:21" x14ac:dyDescent="0.35">
      <c r="H23" s="13">
        <v>18</v>
      </c>
      <c r="I23" s="8">
        <v>9.8844976958525343E-3</v>
      </c>
      <c r="J23" s="8">
        <v>4.8652479591836731E-3</v>
      </c>
      <c r="K23" s="8">
        <v>2.7973579109062978E-6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3.6571428571428573E-4</v>
      </c>
      <c r="T23" s="8">
        <v>2.9068294930875574E-3</v>
      </c>
      <c r="U23" s="9">
        <f t="shared" si="0"/>
        <v>1.5020905659790798E-3</v>
      </c>
    </row>
    <row r="24" spans="8:21" x14ac:dyDescent="0.35">
      <c r="H24" s="13">
        <v>19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9">
        <f t="shared" si="0"/>
        <v>0</v>
      </c>
    </row>
    <row r="25" spans="8:21" x14ac:dyDescent="0.35">
      <c r="H25" s="13">
        <v>20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9">
        <f t="shared" si="0"/>
        <v>0</v>
      </c>
    </row>
    <row r="26" spans="8:21" x14ac:dyDescent="0.35">
      <c r="H26" s="13">
        <v>21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9">
        <f t="shared" si="0"/>
        <v>0</v>
      </c>
    </row>
    <row r="27" spans="8:21" x14ac:dyDescent="0.35">
      <c r="H27" s="13">
        <v>22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9">
        <f t="shared" si="0"/>
        <v>0</v>
      </c>
    </row>
    <row r="28" spans="8:21" x14ac:dyDescent="0.35">
      <c r="H28" s="13">
        <v>23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9">
        <f t="shared" si="0"/>
        <v>0</v>
      </c>
    </row>
    <row r="29" spans="8:21" x14ac:dyDescent="0.35">
      <c r="H29" s="13" t="s">
        <v>13</v>
      </c>
      <c r="I29" s="10">
        <f>AVERAGE(I5:I28)</f>
        <v>0.28812193689196114</v>
      </c>
      <c r="J29" s="10">
        <f t="shared" ref="J29:U29" si="1">AVERAGE(J5:J28)</f>
        <v>0.27311293981009077</v>
      </c>
      <c r="K29" s="10">
        <f t="shared" si="1"/>
        <v>0.26094187408346131</v>
      </c>
      <c r="L29" s="10">
        <f t="shared" si="1"/>
        <v>0.25646609699603179</v>
      </c>
      <c r="M29" s="10">
        <f t="shared" si="1"/>
        <v>0.25167360475678446</v>
      </c>
      <c r="N29" s="10">
        <f t="shared" si="1"/>
        <v>0.22030264510582012</v>
      </c>
      <c r="O29" s="10">
        <f t="shared" si="1"/>
        <v>0.23907249326548904</v>
      </c>
      <c r="P29" s="10">
        <f t="shared" si="1"/>
        <v>0.27759363146441379</v>
      </c>
      <c r="Q29" s="10">
        <f t="shared" si="1"/>
        <v>0.28318563339947095</v>
      </c>
      <c r="R29" s="10">
        <f t="shared" si="1"/>
        <v>0.31226392601126474</v>
      </c>
      <c r="S29" s="10">
        <f t="shared" si="1"/>
        <v>0.29350806769179894</v>
      </c>
      <c r="T29" s="10">
        <f t="shared" si="1"/>
        <v>0.28245923838965697</v>
      </c>
      <c r="U29" s="9">
        <f t="shared" si="0"/>
        <v>0.26989184065552035</v>
      </c>
    </row>
    <row r="30" spans="8:21" x14ac:dyDescent="0.35">
      <c r="I30" s="10">
        <f>$U$29</f>
        <v>0.26989184065552035</v>
      </c>
      <c r="J30" s="10">
        <f t="shared" ref="J30:T30" si="2">$U$29</f>
        <v>0.26989184065552035</v>
      </c>
      <c r="K30" s="10">
        <f t="shared" si="2"/>
        <v>0.26989184065552035</v>
      </c>
      <c r="L30" s="10">
        <f t="shared" si="2"/>
        <v>0.26989184065552035</v>
      </c>
      <c r="M30" s="10">
        <f t="shared" si="2"/>
        <v>0.26989184065552035</v>
      </c>
      <c r="N30" s="10">
        <f t="shared" si="2"/>
        <v>0.26989184065552035</v>
      </c>
      <c r="O30" s="10">
        <f t="shared" si="2"/>
        <v>0.26989184065552035</v>
      </c>
      <c r="P30" s="10">
        <f t="shared" si="2"/>
        <v>0.26989184065552035</v>
      </c>
      <c r="Q30" s="10">
        <f t="shared" si="2"/>
        <v>0.26989184065552035</v>
      </c>
      <c r="R30" s="10">
        <f t="shared" si="2"/>
        <v>0.26989184065552035</v>
      </c>
      <c r="S30" s="10">
        <f t="shared" si="2"/>
        <v>0.26989184065552035</v>
      </c>
      <c r="T30" s="10">
        <f t="shared" si="2"/>
        <v>0.26989184065552035</v>
      </c>
      <c r="U30" s="11"/>
    </row>
  </sheetData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Goldstein</dc:creator>
  <cp:lastModifiedBy>Maree Roos</cp:lastModifiedBy>
  <dcterms:created xsi:type="dcterms:W3CDTF">2020-05-11T23:48:50Z</dcterms:created>
  <dcterms:modified xsi:type="dcterms:W3CDTF">2023-11-04T05:07:54Z</dcterms:modified>
</cp:coreProperties>
</file>